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asc\Desktop\"/>
    </mc:Choice>
  </mc:AlternateContent>
  <bookViews>
    <workbookView xWindow="0" yWindow="0" windowWidth="23040" windowHeight="9972" activeTab="1"/>
  </bookViews>
  <sheets>
    <sheet name="Tasksheet" sheetId="1" r:id="rId1"/>
    <sheet name="final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3" i="3" l="1"/>
  <c r="K43" i="3"/>
  <c r="H43" i="3"/>
  <c r="L43" i="3"/>
  <c r="I43" i="3"/>
  <c r="M43" i="3"/>
  <c r="F43" i="3"/>
  <c r="H30" i="3"/>
  <c r="L30" i="3"/>
  <c r="M30" i="3"/>
  <c r="K27" i="3"/>
  <c r="L27" i="3"/>
  <c r="M27" i="3"/>
  <c r="I27" i="3"/>
  <c r="J27" i="3"/>
  <c r="F27" i="3"/>
  <c r="G27" i="3"/>
  <c r="H27" i="3"/>
  <c r="K26" i="3"/>
  <c r="L26" i="3"/>
  <c r="G14" i="3"/>
  <c r="K14" i="3"/>
  <c r="L14" i="3"/>
  <c r="H14" i="3"/>
  <c r="I14" i="3"/>
  <c r="M14" i="3"/>
  <c r="J14" i="3"/>
  <c r="F14" i="3"/>
  <c r="H10" i="3"/>
  <c r="L10" i="3"/>
  <c r="M10" i="3"/>
  <c r="J10" i="3"/>
  <c r="F10" i="3"/>
  <c r="G7" i="3"/>
  <c r="K7" i="3"/>
  <c r="H7" i="3"/>
  <c r="L7" i="3"/>
  <c r="I7" i="3"/>
  <c r="M7" i="3"/>
  <c r="J7" i="3"/>
  <c r="F7" i="3"/>
  <c r="G3" i="3"/>
  <c r="G20" i="3" s="1"/>
  <c r="K3" i="3"/>
  <c r="K20" i="3" s="1"/>
  <c r="I3" i="3"/>
  <c r="I20" i="3" s="1"/>
  <c r="J3" i="3"/>
  <c r="J20" i="3" s="1"/>
  <c r="H3" i="3"/>
  <c r="H20" i="3" s="1"/>
  <c r="L3" i="3"/>
  <c r="L20" i="3" s="1"/>
  <c r="L44" i="3" s="1"/>
  <c r="M3" i="3"/>
  <c r="M20" i="3" s="1"/>
  <c r="F3" i="3"/>
  <c r="F20" i="3" s="1"/>
  <c r="H26" i="3"/>
  <c r="K40" i="3"/>
  <c r="F30" i="3"/>
  <c r="I40" i="3"/>
  <c r="F26" i="3"/>
  <c r="I26" i="3"/>
  <c r="G11" i="3"/>
  <c r="K11" i="3"/>
  <c r="G26" i="3"/>
  <c r="J26" i="3"/>
  <c r="J30" i="3"/>
  <c r="J43" i="3" s="1"/>
  <c r="I11" i="3"/>
  <c r="H44" i="3"/>
  <c r="J44" i="3"/>
  <c r="F44" i="3"/>
</calcChain>
</file>

<file path=xl/comments1.xml><?xml version="1.0" encoding="utf-8"?>
<comments xmlns="http://schemas.openxmlformats.org/spreadsheetml/2006/main">
  <authors>
    <author>Kieu Trong Khanh</author>
  </authors>
  <commentList>
    <comment ref="F3" authorId="0" shapeId="0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G3" authorId="0" shapeId="0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C10" authorId="0" shapeId="0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Chỉ mô tả các coreflow
</t>
        </r>
      </text>
    </comment>
  </commentList>
</comments>
</file>

<file path=xl/comments2.xml><?xml version="1.0" encoding="utf-8"?>
<comments xmlns="http://schemas.openxmlformats.org/spreadsheetml/2006/main">
  <authors>
    <author>Kieu Trong Khanh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</rPr>
          <t>Kieu Trong Khanh:</t>
        </r>
        <r>
          <rPr>
            <sz val="9"/>
            <color indexed="81"/>
            <rFont val="Tahoma"/>
            <family val="2"/>
          </rPr>
          <t xml:space="preserve">
Chỉ mô tả các coreflow
</t>
        </r>
      </text>
    </comment>
  </commentList>
</comments>
</file>

<file path=xl/sharedStrings.xml><?xml version="1.0" encoding="utf-8"?>
<sst xmlns="http://schemas.openxmlformats.org/spreadsheetml/2006/main" count="118" uniqueCount="84">
  <si>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</si>
  <si>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</si>
  <si>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</si>
  <si>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</si>
  <si>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</si>
  <si>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</si>
  <si>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</si>
  <si>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</si>
  <si>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Requirement 1 .. N</t>
  </si>
  <si>
    <t>Requirements Definition in Detail</t>
  </si>
  <si>
    <t>Use-case Diagram</t>
  </si>
  <si>
    <t>Use-case Specification</t>
  </si>
  <si>
    <t>Design (30%)</t>
  </si>
  <si>
    <t>Class Diagram</t>
  </si>
  <si>
    <t>ERD</t>
  </si>
  <si>
    <t>Interactive Diagram</t>
  </si>
  <si>
    <t>UI, UX</t>
  </si>
  <si>
    <t>Implementation (40%)</t>
  </si>
  <si>
    <t>Functional, View 1 .. N</t>
  </si>
  <si>
    <t>Algorithms 1 .. N</t>
  </si>
  <si>
    <t>Apply Algorithms in functionality</t>
  </si>
  <si>
    <t>Total</t>
  </si>
  <si>
    <t>Mai VũCường</t>
  </si>
  <si>
    <t>Nguyễn Quốc Bảo</t>
  </si>
  <si>
    <t>Đặng Ngọc Trung</t>
  </si>
  <si>
    <t>O</t>
  </si>
  <si>
    <t>Component Diagram</t>
  </si>
  <si>
    <t>Manage user</t>
  </si>
  <si>
    <t>Nguyễn Quang Nhật</t>
  </si>
  <si>
    <t>Hồ Công Trình</t>
  </si>
  <si>
    <t>Vương Minh Thông</t>
  </si>
  <si>
    <t>Nguyễn Đỗ Minh Đức</t>
  </si>
  <si>
    <t>Member Requirement</t>
  </si>
  <si>
    <t>Manage finding room posts</t>
  </si>
  <si>
    <t>Members able to manage their finding room posts</t>
  </si>
  <si>
    <t>Get suggested post by reference</t>
  </si>
  <si>
    <t>Member able to get suggested posts based on their reference about utilities, districts and price.</t>
  </si>
  <si>
    <t>Get suggested post by current location</t>
  </si>
  <si>
    <t>Member able to get suggested base on their current location if they do not have reference</t>
  </si>
  <si>
    <t>Room master Requirement</t>
  </si>
  <si>
    <t>Manage finding roommate posts</t>
  </si>
  <si>
    <t xml:space="preserve">Room masters able to manage their finding roomate posts </t>
  </si>
  <si>
    <t>Get suggested other room master posts</t>
  </si>
  <si>
    <t>Room masters able to get suggested other room masters's posts based on their place</t>
  </si>
  <si>
    <t>House owner Requirement</t>
  </si>
  <si>
    <t>Manage rooms</t>
  </si>
  <si>
    <t>House owner able to manage rooms</t>
  </si>
  <si>
    <t>Manage room members</t>
  </si>
  <si>
    <t>House owner able to manage room members</t>
  </si>
  <si>
    <t>UC_ASP_6, UC_ASP_7, UC_ASP_8 Manage Room</t>
  </si>
  <si>
    <t>House owners can manage their room</t>
  </si>
  <si>
    <t>UC_ASP_11-View Suggested Nearby Room Master</t>
  </si>
  <si>
    <t>UC_ASP_12, UC_ASP_13, UC_ASP_14 Manage Finding Roommate Posts</t>
  </si>
  <si>
    <t>UC_ASP_16 View Suggested Room Post</t>
  </si>
  <si>
    <t>UC_ASP_17, UC_ASP_18, UC_ASP_19 Manage Finding Room Posts</t>
  </si>
  <si>
    <t>Web Application</t>
  </si>
  <si>
    <t xml:space="preserve">Create, Remove user </t>
  </si>
  <si>
    <t>Manage room</t>
  </si>
  <si>
    <t>Approve, Reject room</t>
  </si>
  <si>
    <t>Mobile application</t>
  </si>
  <si>
    <t>View suggested finding roommate posts based on references</t>
  </si>
  <si>
    <t>Get finding roommate posts based on user's references (if user does not have references, get newest roommate posts)</t>
  </si>
  <si>
    <t>View suggested finding roommate posts based on current location</t>
  </si>
  <si>
    <t>Check if user allows the application to access location, get nearby finding roommate posts compared to their current location. If not get datas based on their reference</t>
  </si>
  <si>
    <t>View suggested other nearby room master's posts</t>
  </si>
  <si>
    <t>If user's role is room master, suggest other nearby room masters</t>
  </si>
  <si>
    <t>Create room</t>
  </si>
  <si>
    <t>Send request to create room with role is housr owner</t>
  </si>
  <si>
    <t>Create finding roommate post</t>
  </si>
  <si>
    <t>Send request to create finding roommate post for current room with role is room master</t>
  </si>
  <si>
    <t>Edit room member</t>
  </si>
  <si>
    <t>Send request to edit current members in room, include add, remove member and switching their roles between member and room master</t>
  </si>
  <si>
    <t>Rate member</t>
  </si>
  <si>
    <t>Rate member who is currently in a room</t>
  </si>
  <si>
    <t>Rate room</t>
  </si>
  <si>
    <t>Send request to rate current room</t>
  </si>
  <si>
    <t>View post detail</t>
  </si>
  <si>
    <t>Get detail for a specific post</t>
  </si>
  <si>
    <t>View room detail</t>
  </si>
  <si>
    <t>Get detail for a specific room</t>
  </si>
  <si>
    <t>Search posts</t>
  </si>
  <si>
    <t>Get posts based on address. If there is no result returned, get nearby posts compared to the search address</t>
  </si>
  <si>
    <t>View history</t>
  </si>
  <si>
    <t xml:space="preserve">Get previous posts based on type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</si>
</sst>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name val="ＭＳ Ｐゴシック"/>
      <family val="3"/>
      <charset val="128"/>
    </font>
    <font>
      <b/>
      <sz val="11"/>
      <color indexed="9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0">
    <xf numFmtId="0" fontId="0" fillId="0" borderId="0" xfId="0"/>
    <xf numFmtId="0" fontId="3" fillId="3" borderId="5" xfId="1" applyFont="1" applyFill="1" applyBorder="1" applyAlignment="1">
      <alignment vertical="top" textRotation="180"/>
    </xf>
    <xf numFmtId="0" fontId="4" fillId="0" borderId="4" xfId="0" applyFont="1" applyBorder="1" applyAlignment="1">
      <alignment horizontal="center" vertical="center" wrapText="1"/>
    </xf>
    <xf numFmtId="9" fontId="4" fillId="0" borderId="4" xfId="0" applyNumberFormat="1" applyFont="1" applyBorder="1"/>
    <xf numFmtId="0" fontId="5" fillId="0" borderId="4" xfId="1" applyFont="1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4" xfId="0" applyFont="1" applyBorder="1"/>
    <xf numFmtId="0" fontId="0" fillId="0" borderId="5" xfId="0" applyBorder="1"/>
    <xf numFmtId="0" fontId="0" fillId="0" borderId="4" xfId="0" applyBorder="1"/>
    <xf numFmtId="0" fontId="4" fillId="0" borderId="5" xfId="0" applyFont="1" applyBorder="1"/>
    <xf numFmtId="0" fontId="4" fillId="0" borderId="6" xfId="0" applyFont="1" applyFill="1" applyBorder="1" applyAlignment="1">
      <alignment horizontal="center" vertical="center" wrapText="1"/>
    </xf>
    <xf numFmtId="9" fontId="4" fillId="0" borderId="6" xfId="0" applyNumberFormat="1" applyFont="1" applyBorder="1"/>
    <xf numFmtId="0" fontId="4" fillId="0" borderId="5" xfId="0" applyFont="1" applyFill="1" applyBorder="1" applyAlignment="1">
      <alignment horizontal="center" vertical="center" wrapText="1"/>
    </xf>
    <xf numFmtId="9" fontId="4" fillId="0" borderId="5" xfId="0" applyNumberFormat="1" applyFont="1" applyBorder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9" fontId="8" fillId="0" borderId="4" xfId="0" applyNumberFormat="1" applyFont="1" applyBorder="1" applyAlignment="1">
      <alignment vertical="center"/>
    </xf>
    <xf numFmtId="9" fontId="4" fillId="0" borderId="4" xfId="0" applyNumberFormat="1" applyFont="1" applyBorder="1" applyAlignment="1">
      <alignment vertical="center"/>
    </xf>
    <xf numFmtId="9" fontId="8" fillId="0" borderId="5" xfId="0" applyNumberFormat="1" applyFont="1" applyBorder="1" applyAlignment="1">
      <alignment vertical="center"/>
    </xf>
    <xf numFmtId="9" fontId="4" fillId="0" borderId="5" xfId="0" applyNumberFormat="1" applyFont="1" applyBorder="1" applyAlignment="1">
      <alignment vertical="center"/>
    </xf>
    <xf numFmtId="0" fontId="8" fillId="0" borderId="5" xfId="0" applyNumberFormat="1" applyFont="1" applyBorder="1" applyAlignment="1">
      <alignment vertical="center"/>
    </xf>
    <xf numFmtId="0" fontId="8" fillId="0" borderId="4" xfId="0" applyNumberFormat="1" applyFont="1" applyBorder="1" applyAlignment="1">
      <alignment horizontal="right" vertical="center"/>
    </xf>
    <xf numFmtId="0" fontId="0" fillId="0" borderId="5" xfId="0" applyNumberFormat="1" applyBorder="1" applyAlignment="1">
      <alignment horizontal="right" vertical="center"/>
    </xf>
    <xf numFmtId="0" fontId="4" fillId="0" borderId="4" xfId="0" applyNumberFormat="1" applyFont="1" applyBorder="1" applyAlignment="1">
      <alignment horizontal="right" vertical="center"/>
    </xf>
    <xf numFmtId="0" fontId="4" fillId="0" borderId="5" xfId="0" applyNumberFormat="1" applyFont="1" applyBorder="1" applyAlignment="1">
      <alignment horizontal="right" vertical="center"/>
    </xf>
    <xf numFmtId="0" fontId="8" fillId="0" borderId="5" xfId="0" applyNumberFormat="1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top" textRotation="180"/>
    </xf>
    <xf numFmtId="0" fontId="3" fillId="2" borderId="3" xfId="1" applyFont="1" applyFill="1" applyBorder="1" applyAlignment="1">
      <alignment horizontal="center" vertical="top" textRotation="180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0" fillId="0" borderId="5" xfId="0" applyFont="1" applyBorder="1"/>
    <xf numFmtId="9" fontId="8" fillId="0" borderId="3" xfId="0" applyNumberFormat="1" applyFont="1" applyBorder="1" applyAlignment="1">
      <alignment vertical="center"/>
    </xf>
    <xf numFmtId="0" fontId="0" fillId="0" borderId="5" xfId="0" applyFont="1" applyBorder="1" applyAlignment="1">
      <alignment horizontal="center" vertical="center" wrapText="1"/>
    </xf>
    <xf numFmtId="0" fontId="8" fillId="0" borderId="3" xfId="0" applyFont="1" applyFill="1" applyBorder="1" applyAlignment="1">
      <alignment vertical="center" wrapText="1"/>
    </xf>
    <xf numFmtId="0" fontId="8" fillId="0" borderId="7" xfId="0" applyFont="1" applyBorder="1" applyAlignment="1">
      <alignment vertical="center"/>
    </xf>
    <xf numFmtId="0" fontId="8" fillId="0" borderId="3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right" vertic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selection activeCell="F3" sqref="F3"/>
    </sheetView>
  </sheetViews>
  <sheetFormatPr defaultRowHeight="14.4"/>
  <cols>
    <col min="1" max="1" width="5.44140625" bestFit="1" customWidth="1"/>
    <col min="2" max="2" width="25" bestFit="1" customWidth="1"/>
    <col min="3" max="3" width="27.44140625" customWidth="1"/>
    <col min="4" max="4" width="30.109375" customWidth="1"/>
    <col min="5" max="5" width="29" customWidth="1"/>
    <col min="6" max="6" width="3.5546875" bestFit="1" customWidth="1"/>
    <col min="7" max="7" width="3.5546875" customWidth="1"/>
    <col min="8" max="8" width="3.5546875" bestFit="1" customWidth="1"/>
    <col min="9" max="9" width="3.5546875" customWidth="1"/>
    <col min="10" max="10" width="3.5546875" bestFit="1" customWidth="1"/>
    <col min="11" max="11" width="3.5546875" customWidth="1"/>
  </cols>
  <sheetData>
    <row r="1" spans="1:11" ht="117.75" customHeight="1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9" t="s">
        <v>22</v>
      </c>
      <c r="G1" s="40"/>
      <c r="H1" s="39" t="s">
        <v>23</v>
      </c>
      <c r="I1" s="40"/>
      <c r="J1" s="39" t="s">
        <v>24</v>
      </c>
      <c r="K1" s="40"/>
    </row>
    <row r="2" spans="1:11" ht="91.2">
      <c r="A2" s="38"/>
      <c r="B2" s="38"/>
      <c r="C2" s="38"/>
      <c r="D2" s="38"/>
      <c r="E2" s="38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 ht="15.6">
      <c r="A3" s="2">
        <v>1</v>
      </c>
      <c r="B3" s="33" t="s">
        <v>7</v>
      </c>
      <c r="C3" s="2" t="s">
        <v>8</v>
      </c>
      <c r="D3" s="2" t="s">
        <v>9</v>
      </c>
      <c r="E3" s="3">
        <v>0.3</v>
      </c>
      <c r="F3" s="4"/>
      <c r="G3" s="4"/>
      <c r="H3" s="4"/>
      <c r="I3" s="4"/>
      <c r="J3" s="4"/>
      <c r="K3" s="4"/>
    </row>
    <row r="4" spans="1:11" ht="15.6">
      <c r="A4" s="2">
        <v>2</v>
      </c>
      <c r="B4" s="34"/>
      <c r="C4" s="5" t="s">
        <v>10</v>
      </c>
      <c r="D4" s="6"/>
      <c r="E4" s="3">
        <v>0.3</v>
      </c>
      <c r="F4" s="4"/>
      <c r="G4" s="4" t="s">
        <v>25</v>
      </c>
      <c r="H4" s="7"/>
      <c r="I4" s="8"/>
      <c r="J4" s="4"/>
      <c r="K4" s="4"/>
    </row>
    <row r="5" spans="1:11" ht="15.6">
      <c r="A5" s="2">
        <v>3</v>
      </c>
      <c r="B5" s="35"/>
      <c r="C5" s="5" t="s">
        <v>11</v>
      </c>
      <c r="D5" s="6"/>
      <c r="E5" s="3">
        <v>0.4</v>
      </c>
      <c r="F5" s="4"/>
      <c r="G5" s="4"/>
      <c r="H5" s="8"/>
      <c r="I5" s="8"/>
      <c r="J5" s="4"/>
      <c r="K5" s="4"/>
    </row>
    <row r="6" spans="1:11" ht="15.6">
      <c r="A6" s="2">
        <v>4</v>
      </c>
      <c r="B6" s="36" t="s">
        <v>12</v>
      </c>
      <c r="C6" s="5" t="s">
        <v>13</v>
      </c>
      <c r="D6" s="9"/>
      <c r="E6" s="3">
        <v>0.2</v>
      </c>
      <c r="F6" s="4"/>
      <c r="G6" s="4"/>
      <c r="H6" s="4"/>
      <c r="I6" s="4"/>
      <c r="J6" s="4"/>
      <c r="K6" s="4"/>
    </row>
    <row r="7" spans="1:11" ht="15.6">
      <c r="A7" s="2">
        <v>5</v>
      </c>
      <c r="B7" s="36"/>
      <c r="C7" s="5" t="s">
        <v>14</v>
      </c>
      <c r="D7" s="9"/>
      <c r="E7" s="3">
        <v>0.2</v>
      </c>
      <c r="F7" s="4"/>
      <c r="G7" s="4"/>
      <c r="H7" s="4"/>
      <c r="I7" s="4"/>
      <c r="J7" s="4"/>
      <c r="K7" s="4"/>
    </row>
    <row r="8" spans="1:11" ht="15.6">
      <c r="A8" s="2">
        <v>6</v>
      </c>
      <c r="B8" s="36"/>
      <c r="C8" s="5" t="s">
        <v>15</v>
      </c>
      <c r="D8" s="9"/>
      <c r="E8" s="3">
        <v>0.3</v>
      </c>
      <c r="F8" s="4"/>
      <c r="G8" s="4"/>
      <c r="H8" s="4"/>
      <c r="I8" s="4"/>
      <c r="J8" s="4"/>
      <c r="K8" s="4"/>
    </row>
    <row r="9" spans="1:11">
      <c r="A9" s="2">
        <v>7</v>
      </c>
      <c r="B9" s="36"/>
      <c r="C9" s="10" t="s">
        <v>16</v>
      </c>
      <c r="E9" s="11">
        <v>0.3</v>
      </c>
      <c r="F9" s="7"/>
      <c r="G9" s="7"/>
      <c r="H9" s="7"/>
      <c r="I9" s="7"/>
      <c r="J9" s="7"/>
      <c r="K9" s="7"/>
    </row>
    <row r="10" spans="1:11">
      <c r="A10" s="2">
        <v>8</v>
      </c>
      <c r="B10" s="32" t="s">
        <v>17</v>
      </c>
      <c r="C10" s="12" t="s">
        <v>18</v>
      </c>
      <c r="D10" s="7"/>
      <c r="E10" s="13">
        <v>0.7</v>
      </c>
      <c r="F10" s="7"/>
      <c r="G10" s="7"/>
      <c r="H10" s="7"/>
      <c r="I10" s="7"/>
      <c r="J10" s="7"/>
      <c r="K10" s="7"/>
    </row>
    <row r="11" spans="1:11">
      <c r="A11" s="2">
        <v>9</v>
      </c>
      <c r="B11" s="32"/>
      <c r="C11" s="12" t="s">
        <v>19</v>
      </c>
      <c r="D11" s="5" t="s">
        <v>20</v>
      </c>
      <c r="E11" s="13">
        <v>0.3</v>
      </c>
      <c r="F11" s="7"/>
      <c r="G11" s="7"/>
      <c r="H11" s="7"/>
      <c r="I11" s="7"/>
      <c r="J11" s="7"/>
      <c r="K11" s="7"/>
    </row>
    <row r="12" spans="1:11">
      <c r="A12" s="32" t="s">
        <v>21</v>
      </c>
      <c r="B12" s="32"/>
      <c r="C12" s="32"/>
      <c r="D12" s="32"/>
      <c r="E12" s="32"/>
      <c r="F12" s="7"/>
      <c r="G12" s="7"/>
      <c r="H12" s="7"/>
      <c r="I12" s="7"/>
      <c r="J12" s="7"/>
      <c r="K12" s="7"/>
    </row>
  </sheetData>
  <mergeCells count="12">
    <mergeCell ref="H1:I1"/>
    <mergeCell ref="J1:K1"/>
    <mergeCell ref="D1:D2"/>
    <mergeCell ref="E1:E2"/>
    <mergeCell ref="F1:G1"/>
    <mergeCell ref="B10:B11"/>
    <mergeCell ref="A12:E12"/>
    <mergeCell ref="B3:B5"/>
    <mergeCell ref="B6:B9"/>
    <mergeCell ref="A1:A2"/>
    <mergeCell ref="B1:B2"/>
    <mergeCell ref="C1:C2"/>
  </mergeCells>
  <dataValidations count="1">
    <dataValidation type="list" allowBlank="1" showInputMessage="1" showErrorMessage="1" sqref="F3:K3 J4:K5 F4:G5 F6:K8">
      <formula1>"O, 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4"/>
  <sheetViews>
    <sheetView tabSelected="1" topLeftCell="D37" zoomScale="115" zoomScaleNormal="115" workbookViewId="0">
      <selection activeCell="C25" sqref="A25:XFD25"/>
    </sheetView>
  </sheetViews>
  <sheetFormatPr defaultRowHeight="14.4"/>
  <cols>
    <col min="1" max="1" width="5.44140625" bestFit="1" customWidth="1"/>
    <col min="2" max="2" width="25" bestFit="1" customWidth="1"/>
    <col min="3" max="3" width="42.6640625" bestFit="1" customWidth="1"/>
    <col min="4" max="4" width="34.44140625" customWidth="1"/>
    <col min="5" max="5" width="29" customWidth="1"/>
    <col min="6" max="11" width="10.109375" bestFit="1" customWidth="1"/>
  </cols>
  <sheetData>
    <row r="1" spans="1:13" ht="117.75" customHeight="1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9" t="s">
        <v>28</v>
      </c>
      <c r="G1" s="40"/>
      <c r="H1" s="39" t="s">
        <v>29</v>
      </c>
      <c r="I1" s="40"/>
      <c r="J1" s="39" t="s">
        <v>30</v>
      </c>
      <c r="K1" s="40"/>
      <c r="L1" s="39" t="s">
        <v>31</v>
      </c>
      <c r="M1" s="40"/>
    </row>
    <row r="2" spans="1:13" ht="91.2">
      <c r="A2" s="38"/>
      <c r="B2" s="38"/>
      <c r="C2" s="38"/>
      <c r="D2" s="38"/>
      <c r="E2" s="38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  <c r="L2" s="1" t="s">
        <v>5</v>
      </c>
      <c r="M2" s="1" t="s">
        <v>6</v>
      </c>
    </row>
    <row r="3" spans="1:13">
      <c r="A3" s="14">
        <v>1</v>
      </c>
      <c r="B3" s="33" t="s">
        <v>7</v>
      </c>
      <c r="C3" s="54" t="s">
        <v>32</v>
      </c>
      <c r="D3" s="55"/>
      <c r="E3" s="18">
        <v>0.3</v>
      </c>
      <c r="F3" s="23">
        <f>calculateMark(5,F4:F6)</f>
        <v>9.9999999999999982</v>
      </c>
      <c r="G3" s="23" t="str">
        <f t="shared" ref="G3:M3" si="0">calculateMark(5,G4:G6)</f>
        <v/>
      </c>
      <c r="H3" s="23">
        <f t="shared" si="0"/>
        <v>9.9999999999999982</v>
      </c>
      <c r="I3" s="23" t="str">
        <f t="shared" si="0"/>
        <v/>
      </c>
      <c r="J3" s="23">
        <f t="shared" si="0"/>
        <v>9.9999999999999982</v>
      </c>
      <c r="K3" s="23" t="str">
        <f t="shared" si="0"/>
        <v/>
      </c>
      <c r="L3" s="23">
        <f t="shared" si="0"/>
        <v>9.9999999999999982</v>
      </c>
      <c r="M3" s="23" t="str">
        <f t="shared" si="0"/>
        <v/>
      </c>
    </row>
    <row r="4" spans="1:13" ht="27.6">
      <c r="A4" s="14">
        <v>2</v>
      </c>
      <c r="B4" s="34"/>
      <c r="C4" s="29" t="s">
        <v>33</v>
      </c>
      <c r="D4" s="29" t="s">
        <v>34</v>
      </c>
      <c r="E4" s="19">
        <v>0.1</v>
      </c>
      <c r="F4" s="25">
        <v>10</v>
      </c>
      <c r="G4" s="24"/>
      <c r="H4" s="24">
        <v>10</v>
      </c>
      <c r="I4" s="24"/>
      <c r="J4" s="24">
        <v>10</v>
      </c>
      <c r="K4" s="24"/>
      <c r="L4" s="7">
        <v>10</v>
      </c>
      <c r="M4" s="7"/>
    </row>
    <row r="5" spans="1:13" ht="41.4">
      <c r="A5" s="14">
        <v>3</v>
      </c>
      <c r="B5" s="34"/>
      <c r="C5" s="29" t="s">
        <v>35</v>
      </c>
      <c r="D5" s="29" t="s">
        <v>36</v>
      </c>
      <c r="E5" s="19">
        <v>0.1</v>
      </c>
      <c r="F5" s="25">
        <v>10</v>
      </c>
      <c r="G5" s="24"/>
      <c r="H5" s="24">
        <v>10</v>
      </c>
      <c r="I5" s="24"/>
      <c r="J5" s="24">
        <v>10</v>
      </c>
      <c r="K5" s="24"/>
      <c r="L5" s="24">
        <v>10</v>
      </c>
      <c r="M5" s="7"/>
    </row>
    <row r="6" spans="1:13" ht="41.4">
      <c r="A6" s="14">
        <v>7</v>
      </c>
      <c r="B6" s="34"/>
      <c r="C6" s="29" t="s">
        <v>37</v>
      </c>
      <c r="D6" s="29" t="s">
        <v>38</v>
      </c>
      <c r="E6" s="19">
        <v>0.1</v>
      </c>
      <c r="F6" s="24">
        <v>10</v>
      </c>
      <c r="G6" s="24"/>
      <c r="H6" s="24">
        <v>10</v>
      </c>
      <c r="I6" s="24"/>
      <c r="J6" s="24">
        <v>10</v>
      </c>
      <c r="K6" s="24"/>
      <c r="L6" s="24">
        <v>10</v>
      </c>
      <c r="M6" s="7"/>
    </row>
    <row r="7" spans="1:13">
      <c r="A7" s="14">
        <v>8</v>
      </c>
      <c r="B7" s="34"/>
      <c r="C7" s="54" t="s">
        <v>39</v>
      </c>
      <c r="D7" s="55"/>
      <c r="E7" s="18">
        <v>0.3</v>
      </c>
      <c r="F7" s="23">
        <f>calculateMark(5,F8:F9)</f>
        <v>9</v>
      </c>
      <c r="G7" s="23" t="str">
        <f t="shared" ref="G7:M7" si="1">calculateMark(5,G8:G9)</f>
        <v/>
      </c>
      <c r="H7" s="23">
        <f t="shared" si="1"/>
        <v>9</v>
      </c>
      <c r="I7" s="23" t="str">
        <f t="shared" si="1"/>
        <v/>
      </c>
      <c r="J7" s="23">
        <f t="shared" si="1"/>
        <v>9</v>
      </c>
      <c r="K7" s="23" t="str">
        <f t="shared" si="1"/>
        <v/>
      </c>
      <c r="L7" s="23">
        <f t="shared" si="1"/>
        <v>9</v>
      </c>
      <c r="M7" s="23" t="str">
        <f t="shared" si="1"/>
        <v/>
      </c>
    </row>
    <row r="8" spans="1:13" ht="27.6">
      <c r="A8" s="14">
        <v>11</v>
      </c>
      <c r="B8" s="34"/>
      <c r="C8" s="29" t="s">
        <v>40</v>
      </c>
      <c r="D8" s="29" t="s">
        <v>41</v>
      </c>
      <c r="E8" s="19">
        <v>0.1</v>
      </c>
      <c r="F8" s="25">
        <v>9</v>
      </c>
      <c r="G8" s="24"/>
      <c r="H8" s="25">
        <v>9</v>
      </c>
      <c r="I8" s="24"/>
      <c r="J8" s="25">
        <v>9</v>
      </c>
      <c r="K8" s="24"/>
      <c r="L8" s="25">
        <v>9</v>
      </c>
      <c r="M8" s="7"/>
    </row>
    <row r="9" spans="1:13" ht="41.4">
      <c r="A9" s="14">
        <v>12</v>
      </c>
      <c r="B9" s="34"/>
      <c r="C9" s="17" t="s">
        <v>42</v>
      </c>
      <c r="D9" s="29" t="s">
        <v>43</v>
      </c>
      <c r="E9" s="19">
        <v>0.2</v>
      </c>
      <c r="F9" s="25">
        <v>9</v>
      </c>
      <c r="G9" s="24"/>
      <c r="H9" s="25">
        <v>9</v>
      </c>
      <c r="I9" s="24"/>
      <c r="J9" s="25">
        <v>9</v>
      </c>
      <c r="K9" s="24"/>
      <c r="L9" s="25">
        <v>9</v>
      </c>
      <c r="M9" s="7"/>
    </row>
    <row r="10" spans="1:13">
      <c r="A10" s="15"/>
      <c r="B10" s="34"/>
      <c r="C10" s="54" t="s">
        <v>44</v>
      </c>
      <c r="D10" s="55"/>
      <c r="E10" s="18">
        <v>0.2</v>
      </c>
      <c r="F10" s="23">
        <f>calculateMark(5,F11:F12)</f>
        <v>9</v>
      </c>
      <c r="G10" s="23"/>
      <c r="H10" s="23">
        <f t="shared" ref="H10:M10" si="2">calculateMark(5,H11:H12)</f>
        <v>9</v>
      </c>
      <c r="I10" s="23"/>
      <c r="J10" s="23">
        <f t="shared" si="2"/>
        <v>9</v>
      </c>
      <c r="K10" s="23"/>
      <c r="L10" s="23">
        <f t="shared" si="2"/>
        <v>9</v>
      </c>
      <c r="M10" s="23" t="str">
        <f t="shared" si="2"/>
        <v/>
      </c>
    </row>
    <row r="11" spans="1:13" ht="27.6" customHeight="1">
      <c r="A11" s="14">
        <v>18</v>
      </c>
      <c r="B11" s="34"/>
      <c r="C11" s="29" t="s">
        <v>45</v>
      </c>
      <c r="D11" s="29" t="s">
        <v>46</v>
      </c>
      <c r="E11" s="19">
        <v>0.1</v>
      </c>
      <c r="F11" s="25">
        <v>9</v>
      </c>
      <c r="G11" s="23" t="str">
        <f t="shared" ref="G11:K11" si="3">calculateMark(5,G12)</f>
        <v/>
      </c>
      <c r="H11" s="25">
        <v>9</v>
      </c>
      <c r="I11" s="23" t="str">
        <f t="shared" si="3"/>
        <v/>
      </c>
      <c r="J11" s="25">
        <v>9</v>
      </c>
      <c r="K11" s="23" t="str">
        <f t="shared" si="3"/>
        <v/>
      </c>
      <c r="L11" s="25">
        <v>9</v>
      </c>
      <c r="M11" s="7"/>
    </row>
    <row r="12" spans="1:13" ht="27.6">
      <c r="A12" s="14">
        <v>19</v>
      </c>
      <c r="B12" s="34"/>
      <c r="C12" s="29" t="s">
        <v>47</v>
      </c>
      <c r="D12" s="29" t="s">
        <v>48</v>
      </c>
      <c r="E12" s="19">
        <v>0.1</v>
      </c>
      <c r="F12" s="26">
        <v>9</v>
      </c>
      <c r="G12" s="26"/>
      <c r="H12" s="25">
        <v>9</v>
      </c>
      <c r="I12" s="26"/>
      <c r="J12" s="25">
        <v>9</v>
      </c>
      <c r="K12" s="26"/>
      <c r="L12" s="25">
        <v>9</v>
      </c>
      <c r="M12" s="7"/>
    </row>
    <row r="13" spans="1:13">
      <c r="A13" s="14">
        <v>20</v>
      </c>
      <c r="B13" s="34"/>
      <c r="C13" s="54" t="s">
        <v>10</v>
      </c>
      <c r="D13" s="55"/>
      <c r="E13" s="18">
        <v>0.1</v>
      </c>
      <c r="F13" s="23">
        <v>9</v>
      </c>
      <c r="G13" s="27"/>
      <c r="H13" s="27">
        <v>9</v>
      </c>
      <c r="I13" s="27"/>
      <c r="J13" s="27">
        <v>9</v>
      </c>
      <c r="K13" s="27"/>
      <c r="L13" s="48">
        <v>9</v>
      </c>
      <c r="M13" s="7"/>
    </row>
    <row r="14" spans="1:13">
      <c r="A14" s="15"/>
      <c r="B14" s="34"/>
      <c r="C14" s="54" t="s">
        <v>11</v>
      </c>
      <c r="D14" s="55"/>
      <c r="E14" s="18">
        <v>0.1</v>
      </c>
      <c r="F14" s="23">
        <f>calculateMark(5,F15:F19)</f>
        <v>8</v>
      </c>
      <c r="G14" s="23" t="str">
        <f t="shared" ref="G14:M14" si="4">calculateMark(5,G15:G19)</f>
        <v/>
      </c>
      <c r="H14" s="23">
        <f t="shared" si="4"/>
        <v>8</v>
      </c>
      <c r="I14" s="23" t="str">
        <f t="shared" si="4"/>
        <v/>
      </c>
      <c r="J14" s="23">
        <f t="shared" si="4"/>
        <v>8</v>
      </c>
      <c r="K14" s="23" t="str">
        <f t="shared" si="4"/>
        <v/>
      </c>
      <c r="L14" s="23">
        <f t="shared" si="4"/>
        <v>8</v>
      </c>
      <c r="M14" s="23" t="str">
        <f t="shared" si="4"/>
        <v/>
      </c>
    </row>
    <row r="15" spans="1:13">
      <c r="A15" s="15"/>
      <c r="B15" s="34"/>
      <c r="C15" s="46" t="s">
        <v>49</v>
      </c>
      <c r="D15" s="29" t="s">
        <v>50</v>
      </c>
      <c r="E15" s="19">
        <v>0.02</v>
      </c>
      <c r="F15" s="26"/>
      <c r="G15" s="26"/>
      <c r="H15" s="25"/>
      <c r="I15" s="26"/>
      <c r="J15" s="26">
        <v>8</v>
      </c>
      <c r="K15" s="26"/>
      <c r="L15" s="7"/>
      <c r="M15" s="7"/>
    </row>
    <row r="16" spans="1:13" ht="41.4">
      <c r="A16" s="15"/>
      <c r="B16" s="34"/>
      <c r="C16" s="46" t="s">
        <v>51</v>
      </c>
      <c r="D16" s="29" t="s">
        <v>43</v>
      </c>
      <c r="E16" s="19">
        <v>0.02</v>
      </c>
      <c r="F16" s="26"/>
      <c r="G16" s="26"/>
      <c r="H16" s="25"/>
      <c r="I16" s="26"/>
      <c r="J16" s="26"/>
      <c r="K16" s="26"/>
      <c r="L16" s="7">
        <v>8</v>
      </c>
      <c r="M16" s="7"/>
    </row>
    <row r="17" spans="1:13" ht="43.2">
      <c r="A17" s="15"/>
      <c r="B17" s="34"/>
      <c r="C17" s="47" t="s">
        <v>52</v>
      </c>
      <c r="D17" s="29" t="s">
        <v>41</v>
      </c>
      <c r="E17" s="19">
        <v>0.02</v>
      </c>
      <c r="F17" s="26"/>
      <c r="G17" s="26"/>
      <c r="H17" s="25">
        <v>8</v>
      </c>
      <c r="I17" s="26"/>
      <c r="J17" s="26"/>
      <c r="K17" s="26"/>
      <c r="L17" s="7"/>
      <c r="M17" s="7"/>
    </row>
    <row r="18" spans="1:13" ht="41.4">
      <c r="A18" s="15"/>
      <c r="B18" s="34"/>
      <c r="C18" s="46" t="s">
        <v>53</v>
      </c>
      <c r="D18" s="29" t="s">
        <v>36</v>
      </c>
      <c r="E18" s="19">
        <v>0.02</v>
      </c>
      <c r="F18" s="26">
        <v>8</v>
      </c>
      <c r="G18" s="26"/>
      <c r="H18" s="25"/>
      <c r="I18" s="26"/>
      <c r="J18" s="26"/>
      <c r="K18" s="26"/>
      <c r="L18" s="7"/>
      <c r="M18" s="7"/>
    </row>
    <row r="19" spans="1:13" ht="28.8">
      <c r="A19" s="15"/>
      <c r="B19" s="34"/>
      <c r="C19" s="47" t="s">
        <v>54</v>
      </c>
      <c r="D19" s="29" t="s">
        <v>34</v>
      </c>
      <c r="E19" s="19">
        <v>0.02</v>
      </c>
      <c r="F19" s="26">
        <v>8</v>
      </c>
      <c r="G19" s="26"/>
      <c r="H19" s="25"/>
      <c r="I19" s="26"/>
      <c r="J19" s="26"/>
      <c r="K19" s="26"/>
      <c r="L19" s="7"/>
      <c r="M19" s="7"/>
    </row>
    <row r="20" spans="1:13">
      <c r="A20" s="28"/>
      <c r="B20" s="35"/>
      <c r="C20" s="58" t="s">
        <v>21</v>
      </c>
      <c r="D20" s="52"/>
      <c r="E20" s="49">
        <v>0.3</v>
      </c>
      <c r="F20" s="27">
        <f>calculateComponent(5,F3,F7,F10,F13:F14)</f>
        <v>9.1999999999999993</v>
      </c>
      <c r="G20" s="27" t="str">
        <f t="shared" ref="G20:M20" si="5">calculateComponent(5,G3,G7,G10,G13:G14)</f>
        <v/>
      </c>
      <c r="H20" s="27">
        <f t="shared" si="5"/>
        <v>9.1999999999999993</v>
      </c>
      <c r="I20" s="27" t="str">
        <f t="shared" si="5"/>
        <v/>
      </c>
      <c r="J20" s="27">
        <f t="shared" si="5"/>
        <v>9.1999999999999993</v>
      </c>
      <c r="K20" s="27" t="str">
        <f t="shared" si="5"/>
        <v/>
      </c>
      <c r="L20" s="27">
        <f t="shared" si="5"/>
        <v>9.1999999999999993</v>
      </c>
      <c r="M20" s="27" t="str">
        <f t="shared" si="5"/>
        <v/>
      </c>
    </row>
    <row r="21" spans="1:13">
      <c r="A21" s="14">
        <v>22</v>
      </c>
      <c r="B21" s="33" t="s">
        <v>12</v>
      </c>
      <c r="C21" s="16" t="s">
        <v>13</v>
      </c>
      <c r="D21" s="53"/>
      <c r="E21" s="18">
        <v>0.2</v>
      </c>
      <c r="F21" s="26">
        <v>8</v>
      </c>
      <c r="G21" s="26"/>
      <c r="H21" s="26">
        <v>8</v>
      </c>
      <c r="I21" s="26"/>
      <c r="J21" s="25">
        <v>8</v>
      </c>
      <c r="K21" s="26"/>
      <c r="L21" s="7">
        <v>8</v>
      </c>
      <c r="M21" s="7"/>
    </row>
    <row r="22" spans="1:13">
      <c r="A22" s="14">
        <v>23</v>
      </c>
      <c r="B22" s="34"/>
      <c r="C22" s="16" t="s">
        <v>26</v>
      </c>
      <c r="D22" s="53"/>
      <c r="E22" s="18">
        <v>0.1</v>
      </c>
      <c r="F22" s="25">
        <v>6</v>
      </c>
      <c r="G22" s="26"/>
      <c r="H22" s="26">
        <v>6</v>
      </c>
      <c r="I22" s="26"/>
      <c r="J22" s="25">
        <v>6</v>
      </c>
      <c r="K22" s="26"/>
      <c r="L22" s="7">
        <v>6</v>
      </c>
      <c r="M22" s="7"/>
    </row>
    <row r="23" spans="1:13">
      <c r="A23" s="14">
        <v>24</v>
      </c>
      <c r="B23" s="34"/>
      <c r="C23" s="16" t="s">
        <v>14</v>
      </c>
      <c r="D23" s="53"/>
      <c r="E23" s="18">
        <v>0.2</v>
      </c>
      <c r="F23" s="26">
        <v>8</v>
      </c>
      <c r="G23" s="26"/>
      <c r="H23" s="26">
        <v>8</v>
      </c>
      <c r="I23" s="26"/>
      <c r="J23" s="25">
        <v>8</v>
      </c>
      <c r="K23" s="26"/>
      <c r="L23" s="7">
        <v>8</v>
      </c>
      <c r="M23" s="7"/>
    </row>
    <row r="24" spans="1:13">
      <c r="A24" s="14">
        <v>25</v>
      </c>
      <c r="B24" s="34"/>
      <c r="C24" s="16" t="s">
        <v>15</v>
      </c>
      <c r="D24" s="53"/>
      <c r="E24" s="18">
        <v>0.3</v>
      </c>
      <c r="F24" s="26">
        <v>8</v>
      </c>
      <c r="G24" s="26"/>
      <c r="H24" s="26">
        <v>8</v>
      </c>
      <c r="I24" s="26"/>
      <c r="J24" s="25">
        <v>8</v>
      </c>
      <c r="K24" s="26"/>
      <c r="L24" s="7">
        <v>8</v>
      </c>
      <c r="M24" s="7"/>
    </row>
    <row r="25" spans="1:13">
      <c r="A25" s="14">
        <v>26</v>
      </c>
      <c r="B25" s="34"/>
      <c r="C25" s="31" t="s">
        <v>16</v>
      </c>
      <c r="D25" s="51"/>
      <c r="E25" s="20">
        <v>0.2</v>
      </c>
      <c r="F25" s="26"/>
      <c r="G25" s="26"/>
      <c r="H25" s="26">
        <v>10</v>
      </c>
      <c r="I25" s="26"/>
      <c r="J25" s="26"/>
      <c r="K25" s="26"/>
      <c r="L25" s="7"/>
      <c r="M25" s="7"/>
    </row>
    <row r="26" spans="1:13">
      <c r="A26" s="28"/>
      <c r="B26" s="35"/>
      <c r="C26" s="31" t="s">
        <v>21</v>
      </c>
      <c r="D26" s="51"/>
      <c r="E26" s="20">
        <v>0.3</v>
      </c>
      <c r="F26" s="27">
        <f>calculateComponent(5,F21:F25)</f>
        <v>7.75</v>
      </c>
      <c r="G26" s="27" t="str">
        <f t="shared" ref="G26:L26" si="6">calculateComponent(5,G21:G25)</f>
        <v/>
      </c>
      <c r="H26" s="27">
        <f t="shared" si="6"/>
        <v>8.1999999999999993</v>
      </c>
      <c r="I26" s="27" t="str">
        <f t="shared" si="6"/>
        <v/>
      </c>
      <c r="J26" s="27">
        <f t="shared" si="6"/>
        <v>7.75</v>
      </c>
      <c r="K26" s="27" t="str">
        <f t="shared" si="6"/>
        <v/>
      </c>
      <c r="L26" s="27">
        <f t="shared" si="6"/>
        <v>7.75</v>
      </c>
      <c r="M26" s="48"/>
    </row>
    <row r="27" spans="1:13">
      <c r="A27" s="14">
        <v>27</v>
      </c>
      <c r="B27" s="41" t="s">
        <v>17</v>
      </c>
      <c r="C27" s="31" t="s">
        <v>55</v>
      </c>
      <c r="D27" s="51"/>
      <c r="E27" s="20">
        <v>0.05</v>
      </c>
      <c r="F27" s="27">
        <f t="shared" ref="F27:G27" si="7">calculateMark(5,F28:F29)</f>
        <v>10</v>
      </c>
      <c r="G27" s="27" t="str">
        <f t="shared" si="7"/>
        <v/>
      </c>
      <c r="H27" s="27" t="str">
        <f>calculateMark(5,H28:H29)</f>
        <v/>
      </c>
      <c r="I27" s="27" t="str">
        <f t="shared" ref="I27" si="8">calculateMark(5,I28:I29)</f>
        <v/>
      </c>
      <c r="J27" s="27">
        <f t="shared" ref="J27" si="9">calculateMark(5,J28:J29)</f>
        <v>10</v>
      </c>
      <c r="K27" s="27" t="str">
        <f t="shared" ref="K27" si="10">calculateMark(5,K28:K29)</f>
        <v/>
      </c>
      <c r="L27" s="27" t="str">
        <f t="shared" ref="L27" si="11">calculateMark(5,L28:L29)</f>
        <v/>
      </c>
      <c r="M27" s="27" t="str">
        <f>calculateMark(5,M28:M29)</f>
        <v/>
      </c>
    </row>
    <row r="28" spans="1:13">
      <c r="A28" s="14">
        <v>28</v>
      </c>
      <c r="B28" s="42"/>
      <c r="C28" s="12" t="s">
        <v>27</v>
      </c>
      <c r="D28" s="56" t="s">
        <v>56</v>
      </c>
      <c r="E28" s="21">
        <v>0.02</v>
      </c>
      <c r="F28" s="26">
        <v>10</v>
      </c>
      <c r="G28" s="26"/>
      <c r="H28" s="25"/>
      <c r="I28" s="26"/>
      <c r="J28" s="26"/>
      <c r="K28" s="26"/>
      <c r="L28" s="7"/>
      <c r="M28" s="7"/>
    </row>
    <row r="29" spans="1:13">
      <c r="A29" s="14">
        <v>29</v>
      </c>
      <c r="B29" s="42"/>
      <c r="C29" s="12" t="s">
        <v>57</v>
      </c>
      <c r="D29" s="57" t="s">
        <v>58</v>
      </c>
      <c r="E29" s="21">
        <v>0.03</v>
      </c>
      <c r="F29" s="26"/>
      <c r="G29" s="26"/>
      <c r="H29" s="25"/>
      <c r="I29" s="26"/>
      <c r="J29" s="26">
        <v>10</v>
      </c>
      <c r="K29" s="26"/>
      <c r="L29" s="7"/>
      <c r="M29" s="7"/>
    </row>
    <row r="30" spans="1:13">
      <c r="A30" s="14">
        <v>30</v>
      </c>
      <c r="B30" s="42"/>
      <c r="C30" s="31" t="s">
        <v>59</v>
      </c>
      <c r="D30" s="51"/>
      <c r="E30" s="20">
        <v>0.95</v>
      </c>
      <c r="F30" s="27">
        <f>calculateMark(5,F31:F42)</f>
        <v>8.3076923076923084</v>
      </c>
      <c r="G30" s="27"/>
      <c r="H30" s="27">
        <f>calculateMark(5,H31:H42)</f>
        <v>8.1</v>
      </c>
      <c r="I30" s="27"/>
      <c r="J30" s="27">
        <f t="shared" ref="G30:M30" si="12">calculateMark(5,J31:J42)</f>
        <v>7.2499999999999991</v>
      </c>
      <c r="K30" s="27"/>
      <c r="L30" s="27">
        <f t="shared" si="12"/>
        <v>8.3636363636363633</v>
      </c>
      <c r="M30" s="27" t="str">
        <f t="shared" si="12"/>
        <v/>
      </c>
    </row>
    <row r="31" spans="1:13" ht="57.6">
      <c r="A31" s="14">
        <v>31</v>
      </c>
      <c r="B31" s="42"/>
      <c r="C31" s="12" t="s">
        <v>60</v>
      </c>
      <c r="D31" s="50" t="s">
        <v>61</v>
      </c>
      <c r="E31" s="21">
        <v>0.12</v>
      </c>
      <c r="F31" s="26">
        <v>9</v>
      </c>
      <c r="G31" s="26"/>
      <c r="H31" s="59"/>
      <c r="I31" s="26"/>
      <c r="J31" s="59"/>
      <c r="K31" s="26"/>
      <c r="L31" s="26"/>
      <c r="M31" s="26"/>
    </row>
    <row r="32" spans="1:13" ht="72">
      <c r="A32" s="14">
        <v>32</v>
      </c>
      <c r="B32" s="42"/>
      <c r="C32" s="12" t="s">
        <v>62</v>
      </c>
      <c r="D32" s="50" t="s">
        <v>63</v>
      </c>
      <c r="E32" s="21">
        <v>0.12</v>
      </c>
      <c r="F32" s="26">
        <v>8</v>
      </c>
      <c r="G32" s="26"/>
      <c r="H32" s="59"/>
      <c r="I32" s="26"/>
      <c r="J32" s="59"/>
      <c r="K32" s="26"/>
      <c r="L32" s="26">
        <v>8</v>
      </c>
      <c r="M32" s="26"/>
    </row>
    <row r="33" spans="1:13" ht="28.8">
      <c r="A33" s="14">
        <v>33</v>
      </c>
      <c r="B33" s="42"/>
      <c r="C33" s="12" t="s">
        <v>64</v>
      </c>
      <c r="D33" s="50" t="s">
        <v>65</v>
      </c>
      <c r="E33" s="21">
        <v>0.12</v>
      </c>
      <c r="F33" s="26"/>
      <c r="G33" s="26"/>
      <c r="H33" s="59"/>
      <c r="I33" s="26"/>
      <c r="J33" s="59"/>
      <c r="K33" s="26"/>
      <c r="L33" s="26">
        <v>9</v>
      </c>
      <c r="M33" s="26"/>
    </row>
    <row r="34" spans="1:13" ht="28.8">
      <c r="A34" s="14">
        <v>34</v>
      </c>
      <c r="B34" s="42"/>
      <c r="C34" s="12" t="s">
        <v>66</v>
      </c>
      <c r="D34" s="50" t="s">
        <v>67</v>
      </c>
      <c r="E34" s="21">
        <v>0.06</v>
      </c>
      <c r="F34" s="26"/>
      <c r="G34" s="26"/>
      <c r="H34" s="59"/>
      <c r="I34" s="26"/>
      <c r="J34" s="59">
        <v>8</v>
      </c>
      <c r="K34" s="26"/>
      <c r="L34" s="26"/>
      <c r="M34" s="26"/>
    </row>
    <row r="35" spans="1:13" ht="43.2">
      <c r="A35" s="14">
        <v>35</v>
      </c>
      <c r="B35" s="42"/>
      <c r="C35" s="12" t="s">
        <v>68</v>
      </c>
      <c r="D35" s="50" t="s">
        <v>69</v>
      </c>
      <c r="E35" s="21">
        <v>0.06</v>
      </c>
      <c r="F35" s="26"/>
      <c r="G35" s="26"/>
      <c r="H35" s="59">
        <v>8</v>
      </c>
      <c r="I35" s="26"/>
      <c r="J35" s="59"/>
      <c r="K35" s="26"/>
      <c r="L35" s="26"/>
      <c r="M35" s="26"/>
    </row>
    <row r="36" spans="1:13" ht="55.2">
      <c r="A36" s="14">
        <v>36</v>
      </c>
      <c r="B36" s="42"/>
      <c r="C36" s="12" t="s">
        <v>70</v>
      </c>
      <c r="D36" s="30" t="s">
        <v>71</v>
      </c>
      <c r="E36" s="21">
        <v>0.08</v>
      </c>
      <c r="F36" s="26"/>
      <c r="G36" s="26"/>
      <c r="H36" s="59">
        <v>9</v>
      </c>
      <c r="I36" s="26"/>
      <c r="J36" s="59"/>
      <c r="K36" s="26"/>
      <c r="L36" s="26"/>
      <c r="M36" s="26"/>
    </row>
    <row r="37" spans="1:13">
      <c r="A37" s="14">
        <v>37</v>
      </c>
      <c r="B37" s="42"/>
      <c r="C37" s="12" t="s">
        <v>72</v>
      </c>
      <c r="D37" s="30" t="s">
        <v>73</v>
      </c>
      <c r="E37" s="21">
        <v>0.06</v>
      </c>
      <c r="F37" s="26"/>
      <c r="G37" s="26"/>
      <c r="H37" s="59"/>
      <c r="I37" s="26"/>
      <c r="J37" s="59">
        <v>7</v>
      </c>
      <c r="K37" s="26"/>
      <c r="L37" s="26"/>
      <c r="M37" s="26"/>
    </row>
    <row r="38" spans="1:13">
      <c r="A38" s="14">
        <v>38</v>
      </c>
      <c r="B38" s="42"/>
      <c r="C38" s="12" t="s">
        <v>74</v>
      </c>
      <c r="D38" s="30" t="s">
        <v>75</v>
      </c>
      <c r="E38" s="21">
        <v>0.06</v>
      </c>
      <c r="F38" s="26"/>
      <c r="G38" s="26"/>
      <c r="H38" s="59"/>
      <c r="I38" s="26"/>
      <c r="J38" s="59">
        <v>7</v>
      </c>
      <c r="K38" s="26"/>
      <c r="L38" s="26"/>
      <c r="M38" s="26"/>
    </row>
    <row r="39" spans="1:13">
      <c r="A39" s="14">
        <v>39</v>
      </c>
      <c r="B39" s="42"/>
      <c r="C39" s="12" t="s">
        <v>76</v>
      </c>
      <c r="D39" s="30" t="s">
        <v>77</v>
      </c>
      <c r="E39" s="21">
        <v>0.06</v>
      </c>
      <c r="F39" s="26"/>
      <c r="G39" s="26"/>
      <c r="H39" s="59">
        <v>7</v>
      </c>
      <c r="I39" s="26"/>
      <c r="J39" s="59"/>
      <c r="K39" s="26"/>
      <c r="L39" s="26"/>
      <c r="M39" s="26"/>
    </row>
    <row r="40" spans="1:13">
      <c r="A40" s="14">
        <v>40</v>
      </c>
      <c r="B40" s="42"/>
      <c r="C40" s="12" t="s">
        <v>78</v>
      </c>
      <c r="D40" s="30" t="s">
        <v>79</v>
      </c>
      <c r="E40" s="21">
        <v>0.06</v>
      </c>
      <c r="F40" s="26"/>
      <c r="G40" s="26"/>
      <c r="H40" s="59"/>
      <c r="I40" s="26" t="str">
        <f>calculateMark(5,I41:I42)</f>
        <v/>
      </c>
      <c r="J40" s="59">
        <v>7</v>
      </c>
      <c r="K40" s="26" t="str">
        <f>calculateMark(5,K41:K42)</f>
        <v/>
      </c>
      <c r="L40" s="26"/>
      <c r="M40" s="26"/>
    </row>
    <row r="41" spans="1:13" ht="41.4">
      <c r="A41" s="14">
        <v>41</v>
      </c>
      <c r="B41" s="42"/>
      <c r="C41" s="12" t="s">
        <v>80</v>
      </c>
      <c r="D41" s="30" t="s">
        <v>81</v>
      </c>
      <c r="E41" s="21">
        <v>0.09</v>
      </c>
      <c r="F41" s="26">
        <v>8</v>
      </c>
      <c r="G41" s="26"/>
      <c r="H41" s="59"/>
      <c r="I41" s="26"/>
      <c r="J41" s="59"/>
      <c r="K41" s="26"/>
      <c r="L41" s="26">
        <v>8</v>
      </c>
      <c r="M41" s="26"/>
    </row>
    <row r="42" spans="1:13">
      <c r="A42" s="14">
        <v>42</v>
      </c>
      <c r="B42" s="42"/>
      <c r="C42" s="12" t="s">
        <v>82</v>
      </c>
      <c r="D42" s="30" t="s">
        <v>83</v>
      </c>
      <c r="E42" s="21">
        <v>0.06</v>
      </c>
      <c r="F42" s="26">
        <v>8</v>
      </c>
      <c r="G42" s="26"/>
      <c r="H42" s="59"/>
      <c r="I42" s="26"/>
      <c r="J42" s="59"/>
      <c r="K42" s="26"/>
      <c r="L42" s="26"/>
      <c r="M42" s="26"/>
    </row>
    <row r="43" spans="1:13">
      <c r="A43" s="28"/>
      <c r="B43" s="43"/>
      <c r="C43" s="44" t="s">
        <v>21</v>
      </c>
      <c r="D43" s="45"/>
      <c r="E43" s="20">
        <v>0.4</v>
      </c>
      <c r="F43" s="27">
        <f>calculateComponent(5,F30,F27)</f>
        <v>8.3923076923076927</v>
      </c>
      <c r="G43" s="27" t="str">
        <f t="shared" ref="G43:M43" si="13">calculateComponent(5,G30,G27)</f>
        <v/>
      </c>
      <c r="H43" s="27">
        <f t="shared" si="13"/>
        <v>8.1</v>
      </c>
      <c r="I43" s="27" t="str">
        <f t="shared" si="13"/>
        <v/>
      </c>
      <c r="J43" s="27">
        <f t="shared" si="13"/>
        <v>7.3874999999999984</v>
      </c>
      <c r="K43" s="27" t="str">
        <f t="shared" si="13"/>
        <v/>
      </c>
      <c r="L43" s="27">
        <f t="shared" si="13"/>
        <v>8.3636363636363633</v>
      </c>
      <c r="M43" s="27" t="str">
        <f t="shared" si="13"/>
        <v/>
      </c>
    </row>
    <row r="44" spans="1:13">
      <c r="A44" s="32" t="s">
        <v>21</v>
      </c>
      <c r="B44" s="32"/>
      <c r="C44" s="32"/>
      <c r="D44" s="32"/>
      <c r="E44" s="32"/>
      <c r="F44" s="22">
        <f>calTotal(5,F20,F26,F43)</f>
        <v>8.4419230769230769</v>
      </c>
      <c r="G44" s="22"/>
      <c r="H44" s="22">
        <f>calTotal(5,H20,H26,H43)</f>
        <v>8.4599999999999991</v>
      </c>
      <c r="I44" s="22"/>
      <c r="J44" s="22">
        <f>calTotal(5,J20,J26,J43)</f>
        <v>8.0399999999999991</v>
      </c>
      <c r="K44" s="22"/>
      <c r="L44" s="22">
        <f t="shared" ref="K44:M44" si="14">calTotal(5,L20,L26,L43)</f>
        <v>8.4304545454545448</v>
      </c>
      <c r="M44" s="22"/>
    </row>
  </sheetData>
  <mergeCells count="14">
    <mergeCell ref="B27:B43"/>
    <mergeCell ref="L1:M1"/>
    <mergeCell ref="B3:B20"/>
    <mergeCell ref="H1:I1"/>
    <mergeCell ref="J1:K1"/>
    <mergeCell ref="F1:G1"/>
    <mergeCell ref="A44:E44"/>
    <mergeCell ref="A1:A2"/>
    <mergeCell ref="B1:B2"/>
    <mergeCell ref="C1:C2"/>
    <mergeCell ref="D1:D2"/>
    <mergeCell ref="E1:E2"/>
    <mergeCell ref="B21:B26"/>
    <mergeCell ref="C43:D43"/>
  </mergeCells>
  <pageMargins left="0.7" right="0.7" top="0.75" bottom="0.75" header="0.3" footer="0.3"/>
  <pageSetup orientation="portrait" r:id="rId1"/>
  <ignoredErrors>
    <ignoredError sqref="H7" formulaRange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Tasksheet</vt:lpstr>
      <vt:lpstr>final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Đức Nguyễn</cp:lastModifiedBy>
  <dcterms:created xsi:type="dcterms:W3CDTF">2018-11-18T21:10:51Z</dcterms:created>
  <dcterms:modified xsi:type="dcterms:W3CDTF">2018-11-26T07:27:19Z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